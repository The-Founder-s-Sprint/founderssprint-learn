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p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213A2D"/>
      <sz val="16"/>
    </font>
    <font>
      <name val="Arial"/>
      <color rgb="00B85A2E"/>
      <sz val="12"/>
    </font>
    <font>
      <name val="Arial"/>
      <b val="1"/>
      <color rgb="00B85A2E"/>
      <sz val="11"/>
    </font>
    <font>
      <name val="Arial"/>
      <sz val="11"/>
    </font>
    <font>
      <name val="Arial"/>
      <i val="1"/>
      <color rgb="008C8880"/>
      <sz val="10"/>
    </font>
    <font>
      <name val="Arial"/>
      <b val="1"/>
      <color rgb="00213A2D"/>
      <sz val="14"/>
    </font>
    <font>
      <name val="Arial"/>
      <i val="1"/>
      <color rgb="008C8880"/>
      <sz val="9"/>
    </font>
    <font>
      <name val="Arial"/>
      <color rgb="000000FF"/>
      <sz val="11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11"/>
    </font>
    <font>
      <name val="Arial"/>
      <b val="1"/>
      <color rgb="00213A2D"/>
      <sz val="12"/>
    </font>
    <font>
      <name val="Arial"/>
      <b val="1"/>
      <sz val="11"/>
    </font>
    <font>
      <name val="Arial"/>
      <i val="1"/>
      <color rgb="008C8880"/>
      <sz val="11"/>
    </font>
    <font>
      <name val="Arial"/>
      <b val="1"/>
      <color rgb="00213A2D"/>
      <sz val="11"/>
    </font>
  </fonts>
  <fills count="6">
    <fill>
      <patternFill/>
    </fill>
    <fill>
      <patternFill patternType="gray125"/>
    </fill>
    <fill>
      <patternFill patternType="solid">
        <fgColor rgb="00FFF9E0"/>
      </patternFill>
    </fill>
    <fill>
      <patternFill patternType="solid">
        <fgColor rgb="00213A2D"/>
      </patternFill>
    </fill>
    <fill>
      <patternFill patternType="solid">
        <fgColor rgb="00F5EBD6"/>
      </patternFill>
    </fill>
    <fill>
      <patternFill patternType="solid">
        <fgColor rgb="00F0E4CC"/>
      </patternFill>
    </fill>
  </fills>
  <borders count="4">
    <border>
      <left/>
      <right/>
      <top/>
      <bottom/>
      <diagonal/>
    </border>
    <border>
      <bottom style="thin">
        <color rgb="00C8C5BB"/>
      </bottom>
    </border>
    <border>
      <bottom style="medium">
        <color rgb="00213A2D"/>
      </bottom>
    </border>
    <border>
      <bottom style="double">
        <color rgb="00213A2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pivotButton="0" quotePrefix="0" xfId="0"/>
    <xf numFmtId="3" fontId="8" fillId="2" borderId="0" pivotButton="0" quotePrefix="0" xfId="0"/>
    <xf numFmtId="0" fontId="9" fillId="3" borderId="0" applyAlignment="1" pivotButton="0" quotePrefix="0" xfId="0">
      <alignment horizontal="center"/>
    </xf>
    <xf numFmtId="0" fontId="8" fillId="2" borderId="1" pivotButton="0" quotePrefix="0" xfId="0"/>
    <xf numFmtId="3" fontId="8" fillId="2" borderId="1" pivotButton="0" quotePrefix="0" xfId="0"/>
    <xf numFmtId="3" fontId="10" fillId="0" borderId="1" pivotButton="0" quotePrefix="0" xfId="0"/>
    <xf numFmtId="10" fontId="10" fillId="0" borderId="1" pivotButton="0" quotePrefix="0" xfId="0"/>
    <xf numFmtId="0" fontId="11" fillId="4" borderId="2" pivotButton="0" quotePrefix="0" xfId="0"/>
    <xf numFmtId="0" fontId="0" fillId="4" borderId="2" pivotButton="0" quotePrefix="0" xfId="0"/>
    <xf numFmtId="3" fontId="11" fillId="4" borderId="2" pivotButton="0" quotePrefix="0" xfId="0"/>
    <xf numFmtId="10" fontId="11" fillId="4" borderId="2" pivotButton="0" quotePrefix="0" xfId="0"/>
    <xf numFmtId="0" fontId="0" fillId="0" borderId="1" pivotButton="0" quotePrefix="0" xfId="0"/>
    <xf numFmtId="0" fontId="12" fillId="5" borderId="3" pivotButton="0" quotePrefix="0" xfId="0"/>
    <xf numFmtId="0" fontId="0" fillId="5" borderId="3" pivotButton="0" quotePrefix="0" xfId="0"/>
    <xf numFmtId="3" fontId="13" fillId="5" borderId="3" pivotButton="0" quotePrefix="0" xfId="0"/>
    <xf numFmtId="10" fontId="13" fillId="5" borderId="3" pivotButton="0" quotePrefix="0" xfId="0"/>
    <xf numFmtId="0" fontId="14" fillId="0" borderId="0" pivotButton="0" quotePrefix="0" xfId="0"/>
    <xf numFmtId="3" fontId="14" fillId="0" borderId="0" pivotButton="0" quotePrefix="0" xfId="0"/>
    <xf numFmtId="3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036"/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THE FOUNDER'S SPRINT</t>
        </is>
      </c>
    </row>
    <row r="2">
      <c r="A2" s="2" t="inlineStr">
        <is>
          <t>Cap Table Template</t>
        </is>
      </c>
    </row>
    <row r="4">
      <c r="A4" s="3" t="inlineStr">
        <is>
          <t>HOW TO USE THIS TEMPLATE</t>
        </is>
      </c>
    </row>
    <row r="5">
      <c r="A5" s="4" t="inlineStr">
        <is>
          <t>1. Go to the "Cap Table" tab to see and edit the ownership structure.</t>
        </is>
      </c>
    </row>
    <row r="6">
      <c r="A6" s="4" t="inlineStr">
        <is>
          <t>2. Enter founder names, share counts, and share prices in the blue cells.</t>
        </is>
      </c>
    </row>
    <row r="7">
      <c r="A7" s="4" t="inlineStr">
        <is>
          <t>3. Add investor rounds in the Investor section with share price per share.</t>
        </is>
      </c>
    </row>
    <row r="8">
      <c r="A8" s="4" t="inlineStr">
        <is>
          <t>4. The ESOP pool row lets you reserve shares for future employees.</t>
        </is>
      </c>
    </row>
    <row r="9">
      <c r="A9" s="4" t="inlineStr">
        <is>
          <t>5. The Summary section auto-calculates total shares, ownership %, and dilution.</t>
        </is>
      </c>
    </row>
    <row r="10">
      <c r="A10" s="4" t="inlineStr"/>
    </row>
    <row r="11">
      <c r="A11" s="3" t="inlineStr">
        <is>
          <t>KEY CONCEPTS</t>
        </is>
      </c>
    </row>
    <row r="12">
      <c r="A12" s="5" t="inlineStr">
        <is>
          <t>Authorised Shares = total shares the company can issue (set in your Articles).</t>
        </is>
      </c>
    </row>
    <row r="13">
      <c r="A13" s="5" t="inlineStr">
        <is>
          <t>Issued Shares = shares actually distributed to founders, investors, ESOP.</t>
        </is>
      </c>
    </row>
    <row r="14">
      <c r="A14" s="5" t="inlineStr">
        <is>
          <t>Unissued Shares = authorised minus issued (available for future rounds).</t>
        </is>
      </c>
    </row>
    <row r="15">
      <c r="A15" s="5" t="inlineStr">
        <is>
          <t>Pre-money Valuation = what the company is worth before new investment.</t>
        </is>
      </c>
    </row>
    <row r="16">
      <c r="A16" s="5" t="inlineStr">
        <is>
          <t>Post-money Valuation = pre-money + new investment amount.</t>
        </is>
      </c>
    </row>
    <row r="17">
      <c r="A17" s="4" t="inlineStr"/>
    </row>
    <row r="18">
      <c r="A18" s="3" t="inlineStr">
        <is>
          <t>TIPS FOR UGANDAN FOUNDERS</t>
        </is>
      </c>
    </row>
    <row r="19">
      <c r="A19" s="4" t="inlineStr">
        <is>
          <t>URSB requires you to declare authorised share capital in your Memorandum of Association.</t>
        </is>
      </c>
    </row>
    <row r="20">
      <c r="A20" s="4" t="inlineStr">
        <is>
          <t>Nominal (par) value per share in Uganda is typically UGX 1,000 – UGX 10,000.</t>
        </is>
      </c>
    </row>
    <row r="21">
      <c r="A21" s="4" t="inlineStr">
        <is>
          <t>When issuing shares above par value, the premium goes to Share Premium Reserve.</t>
        </is>
      </c>
    </row>
    <row r="22">
      <c r="A22" s="4" t="inlineStr">
        <is>
          <t>Keep vesting schedules in a separate agreement (see Co-Founder Agreement template).</t>
        </is>
      </c>
    </row>
    <row r="23">
      <c r="A23" s="4" t="inlineStr">
        <is>
          <t>Update this cap table after every share issuance — investors will ask for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13A2D"/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8" customWidth="1" min="4" max="4"/>
    <col width="20" customWidth="1" min="5" max="5"/>
    <col width="14" customWidth="1" min="6" max="6"/>
  </cols>
  <sheetData>
    <row r="1">
      <c r="A1" s="6" t="inlineStr">
        <is>
          <t>CAPITALISATION TABLE</t>
        </is>
      </c>
    </row>
    <row r="2">
      <c r="A2" s="7" t="inlineStr">
        <is>
          <t>Edit blue cells to model your ownership structure</t>
        </is>
      </c>
    </row>
    <row r="4">
      <c r="A4" t="inlineStr">
        <is>
          <t>Company Name</t>
        </is>
      </c>
      <c r="B4" s="8" t="inlineStr">
        <is>
          <t>Your Startup Name</t>
        </is>
      </c>
    </row>
    <row r="5">
      <c r="A5" t="inlineStr">
        <is>
          <t>Total Authorised Shares</t>
        </is>
      </c>
      <c r="B5" s="9" t="n">
        <v>10000</v>
      </c>
    </row>
    <row r="7">
      <c r="A7" s="10" t="inlineStr">
        <is>
          <t>Shareholder</t>
        </is>
      </c>
      <c r="B7" s="10" t="inlineStr">
        <is>
          <t>Role / Type</t>
        </is>
      </c>
      <c r="C7" s="10" t="inlineStr">
        <is>
          <t>Shares Held</t>
        </is>
      </c>
      <c r="D7" s="10" t="inlineStr">
        <is>
          <t>Price/Share (UGX)</t>
        </is>
      </c>
      <c r="E7" s="10" t="inlineStr">
        <is>
          <t>Investment (UGX)</t>
        </is>
      </c>
      <c r="F7" s="10" t="inlineStr">
        <is>
          <t>Ownership %</t>
        </is>
      </c>
    </row>
    <row r="8">
      <c r="A8" s="3" t="inlineStr">
        <is>
          <t>FOUNDERS</t>
        </is>
      </c>
    </row>
    <row r="9">
      <c r="A9" s="11" t="inlineStr">
        <is>
          <t>Founder 1</t>
        </is>
      </c>
      <c r="B9" s="11" t="inlineStr">
        <is>
          <t>Co-Founder</t>
        </is>
      </c>
      <c r="C9" s="12" t="n">
        <v>5000</v>
      </c>
      <c r="D9" s="12" t="n">
        <v>1000</v>
      </c>
      <c r="E9" s="13">
        <f>C9*D9</f>
        <v/>
      </c>
      <c r="F9" s="14">
        <f>IF($C$24=0,0,C9/$C$24)</f>
        <v/>
      </c>
    </row>
    <row r="10">
      <c r="A10" s="11" t="inlineStr"/>
      <c r="B10" s="11" t="inlineStr"/>
      <c r="C10" s="12" t="n">
        <v>0</v>
      </c>
      <c r="D10" s="12" t="n">
        <v>1000</v>
      </c>
      <c r="E10" s="13">
        <f>C10*D10</f>
        <v/>
      </c>
      <c r="F10" s="14">
        <f>IF($C$24=0,0,C10/$C$24)</f>
        <v/>
      </c>
    </row>
    <row r="11">
      <c r="A11" s="11" t="inlineStr"/>
      <c r="B11" s="11" t="inlineStr"/>
      <c r="C11" s="12" t="n">
        <v>0</v>
      </c>
      <c r="D11" s="12" t="n">
        <v>1000</v>
      </c>
      <c r="E11" s="13">
        <f>C11*D11</f>
        <v/>
      </c>
      <c r="F11" s="14">
        <f>IF($C$24=0,0,C11/$C$24)</f>
        <v/>
      </c>
    </row>
    <row r="12">
      <c r="A12" s="15" t="inlineStr">
        <is>
          <t>Subtotal Founders</t>
        </is>
      </c>
      <c r="B12" s="16" t="n"/>
      <c r="C12" s="17">
        <f>SUM(C9:C11)</f>
        <v/>
      </c>
      <c r="D12" s="16" t="n"/>
      <c r="E12" s="17">
        <f>SUM(E9:E11)</f>
        <v/>
      </c>
      <c r="F12" s="18">
        <f>IF($C$24=0,0,C12/$C$24)</f>
        <v/>
      </c>
    </row>
    <row r="14">
      <c r="A14" s="3" t="inlineStr">
        <is>
          <t>INVESTORS</t>
        </is>
      </c>
    </row>
    <row r="15">
      <c r="A15" s="11" t="inlineStr">
        <is>
          <t>Investor 1</t>
        </is>
      </c>
      <c r="B15" s="11" t="inlineStr">
        <is>
          <t>Angel</t>
        </is>
      </c>
      <c r="C15" s="12" t="n">
        <v>0</v>
      </c>
      <c r="D15" s="12" t="n">
        <v>0</v>
      </c>
      <c r="E15" s="13">
        <f>C15*D15</f>
        <v/>
      </c>
      <c r="F15" s="14">
        <f>IF($C$24=0,0,C15/$C$24)</f>
        <v/>
      </c>
    </row>
    <row r="16">
      <c r="A16" s="11" t="inlineStr"/>
      <c r="B16" s="11" t="inlineStr"/>
      <c r="C16" s="12" t="n">
        <v>0</v>
      </c>
      <c r="D16" s="12" t="n">
        <v>0</v>
      </c>
      <c r="E16" s="13">
        <f>C16*D16</f>
        <v/>
      </c>
      <c r="F16" s="14">
        <f>IF($C$24=0,0,C16/$C$24)</f>
        <v/>
      </c>
    </row>
    <row r="17">
      <c r="A17" s="11" t="inlineStr"/>
      <c r="B17" s="11" t="inlineStr"/>
      <c r="C17" s="12" t="n">
        <v>0</v>
      </c>
      <c r="D17" s="12" t="n">
        <v>0</v>
      </c>
      <c r="E17" s="13">
        <f>C17*D17</f>
        <v/>
      </c>
      <c r="F17" s="14">
        <f>IF($C$24=0,0,C17/$C$24)</f>
        <v/>
      </c>
    </row>
    <row r="18">
      <c r="A18" s="11" t="inlineStr"/>
      <c r="B18" s="11" t="inlineStr"/>
      <c r="C18" s="12" t="n">
        <v>0</v>
      </c>
      <c r="D18" s="12" t="n">
        <v>0</v>
      </c>
      <c r="E18" s="13">
        <f>C18*D18</f>
        <v/>
      </c>
      <c r="F18" s="14">
        <f>IF($C$24=0,0,C18/$C$24)</f>
        <v/>
      </c>
    </row>
    <row r="19">
      <c r="A19" s="15" t="inlineStr">
        <is>
          <t>Subtotal Investors</t>
        </is>
      </c>
      <c r="B19" s="16" t="n"/>
      <c r="C19" s="17">
        <f>SUM(C15:C18)</f>
        <v/>
      </c>
      <c r="D19" s="16" t="n"/>
      <c r="E19" s="17">
        <f>SUM(E15:E18)</f>
        <v/>
      </c>
      <c r="F19" s="18">
        <f>IF($C$24=0,0,C19/$C$24)</f>
        <v/>
      </c>
    </row>
    <row r="21">
      <c r="A21" s="3" t="inlineStr">
        <is>
          <t>ESOP / OPTION POOL</t>
        </is>
      </c>
    </row>
    <row r="22">
      <c r="A22" s="11" t="inlineStr">
        <is>
          <t>Employee Option Pool</t>
        </is>
      </c>
      <c r="B22" s="19" t="inlineStr">
        <is>
          <t>ESOP</t>
        </is>
      </c>
      <c r="C22" s="12" t="n">
        <v>0</v>
      </c>
      <c r="D22" s="12" t="n">
        <v>0</v>
      </c>
      <c r="E22" s="13">
        <f>C22*D22</f>
        <v/>
      </c>
      <c r="F22" s="14">
        <f>IF($C$24=0,0,C22/$C$24)</f>
        <v/>
      </c>
    </row>
    <row r="24">
      <c r="A24" s="20" t="inlineStr">
        <is>
          <t>TOTAL ISSUED SHARES</t>
        </is>
      </c>
      <c r="B24" s="21" t="n"/>
      <c r="C24" s="22">
        <f>C12+C19+C22</f>
        <v/>
      </c>
      <c r="D24" s="21" t="n"/>
      <c r="E24" s="22">
        <f>E12+E19+E22</f>
        <v/>
      </c>
      <c r="F24" s="23">
        <f>IF(C24=0,0,1)</f>
        <v/>
      </c>
    </row>
    <row r="25">
      <c r="A25" s="24" t="inlineStr">
        <is>
          <t>Unissued Shares</t>
        </is>
      </c>
      <c r="C25" s="25">
        <f>B5-C24</f>
        <v/>
      </c>
    </row>
    <row r="27">
      <c r="A27" s="3" t="inlineStr">
        <is>
          <t>VALUATION SUMMARY</t>
        </is>
      </c>
    </row>
    <row r="28">
      <c r="A28" t="inlineStr">
        <is>
          <t>Latest Share Price (UGX)</t>
        </is>
      </c>
      <c r="B28" s="9" t="n">
        <v>0</v>
      </c>
    </row>
    <row r="29">
      <c r="A29" t="inlineStr">
        <is>
          <t>Implied Valuation (UGX)</t>
        </is>
      </c>
      <c r="B29" s="26">
        <f>B28*C24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2026-04-18T10:37:12Z</dcterms:created>
  <dcterms:modified xmlns:dcterms="http://purl.org/dc/terms/" xmlns:xsi="http://www.w3.org/2001/XMLSchema-instance" xsi:type="dcterms:W3CDTF">2026-04-18T10:37:12Z</dcterms:modified>
</cp:coreProperties>
</file>