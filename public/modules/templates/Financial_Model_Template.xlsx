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(#,##0);&quot;-&quot;"/>
  </numFmts>
  <fonts count="16">
    <font>
      <name val="Calibri"/>
      <family val="2"/>
      <color theme="1"/>
      <sz val="11"/>
      <scheme val="minor"/>
    </font>
    <font>
      <name val="Arial"/>
      <b val="1"/>
      <color rgb="00213A2D"/>
      <sz val="14"/>
    </font>
    <font>
      <name val="Arial"/>
      <b val="1"/>
      <color rgb="00B85A2E"/>
      <sz val="11"/>
    </font>
    <font>
      <name val="Arial"/>
      <color rgb="000000FF"/>
      <sz val="11"/>
    </font>
    <font>
      <name val="Arial"/>
      <i val="1"/>
      <color rgb="008C8880"/>
      <sz val="9"/>
    </font>
    <font>
      <name val="Arial"/>
      <b val="1"/>
      <color rgb="00FFFFFF"/>
      <sz val="11"/>
    </font>
    <font>
      <name val="Arial"/>
      <color rgb="00008000"/>
      <sz val="10"/>
    </font>
    <font>
      <name val="Arial"/>
      <color rgb="00000000"/>
      <sz val="11"/>
    </font>
    <font>
      <name val="Arial"/>
      <b val="1"/>
      <sz val="11"/>
    </font>
    <font>
      <name val="Arial"/>
      <b val="1"/>
      <color rgb="00213A2D"/>
      <sz val="11"/>
    </font>
    <font>
      <name val="Arial"/>
      <b val="1"/>
      <color rgb="00213A2D"/>
      <sz val="12"/>
    </font>
    <font>
      <name val="Arial"/>
      <b val="1"/>
      <color rgb="00000000"/>
      <sz val="11"/>
    </font>
    <font>
      <name val="Arial"/>
      <b val="1"/>
      <color rgb="00213A2D"/>
      <sz val="16"/>
    </font>
    <font>
      <name val="Arial"/>
      <color rgb="00B85A2E"/>
      <sz val="12"/>
    </font>
    <font>
      <name val="Arial"/>
      <sz val="11"/>
    </font>
    <font>
      <name val="Arial"/>
      <i val="1"/>
      <color rgb="008C8880"/>
      <sz val="10"/>
    </font>
  </fonts>
  <fills count="7">
    <fill>
      <patternFill/>
    </fill>
    <fill>
      <patternFill patternType="gray125"/>
    </fill>
    <fill>
      <patternFill patternType="solid">
        <fgColor rgb="00FFF9E0"/>
      </patternFill>
    </fill>
    <fill>
      <patternFill patternType="solid">
        <fgColor rgb="00213A2D"/>
      </patternFill>
    </fill>
    <fill>
      <patternFill patternType="solid">
        <fgColor rgb="00F0E4CC"/>
      </patternFill>
    </fill>
    <fill>
      <patternFill patternType="solid">
        <fgColor rgb="00F5EBD6"/>
      </patternFill>
    </fill>
    <fill>
      <patternFill patternType="solid">
        <fgColor rgb="00D4845A"/>
      </patternFill>
    </fill>
  </fills>
  <borders count="4">
    <border>
      <left/>
      <right/>
      <top/>
      <bottom/>
      <diagonal/>
    </border>
    <border>
      <bottom style="thin">
        <color rgb="00C8C5BB"/>
      </bottom>
    </border>
    <border>
      <bottom style="medium">
        <color rgb="00213A2D"/>
      </bottom>
    </border>
    <border>
      <bottom style="double">
        <color rgb="00213A2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3" fontId="3" fillId="2" borderId="0" pivotButton="0" quotePrefix="0" xfId="0"/>
    <xf numFmtId="164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horizontal="center"/>
    </xf>
    <xf numFmtId="165" fontId="6" fillId="0" borderId="1" pivotButton="0" quotePrefix="0" xfId="0"/>
    <xf numFmtId="165" fontId="7" fillId="0" borderId="1" pivotButton="0" quotePrefix="0" xfId="0"/>
    <xf numFmtId="165" fontId="8" fillId="0" borderId="0" pivotButton="0" quotePrefix="0" xfId="0"/>
    <xf numFmtId="0" fontId="9" fillId="0" borderId="0" pivotButton="0" quotePrefix="0" xfId="0"/>
    <xf numFmtId="165" fontId="8" fillId="4" borderId="2" pivotButton="0" quotePrefix="0" xfId="0"/>
    <xf numFmtId="165" fontId="8" fillId="4" borderId="0" pivotButton="0" quotePrefix="0" xfId="0"/>
    <xf numFmtId="164" fontId="4" fillId="0" borderId="0" pivotButton="0" quotePrefix="0" xfId="0"/>
    <xf numFmtId="165" fontId="7" fillId="0" borderId="0" pivotButton="0" quotePrefix="0" xfId="0"/>
    <xf numFmtId="165" fontId="8" fillId="5" borderId="2" pivotButton="0" quotePrefix="0" xfId="0"/>
    <xf numFmtId="165" fontId="8" fillId="5" borderId="0" pivotButton="0" quotePrefix="0" xfId="0"/>
    <xf numFmtId="0" fontId="10" fillId="0" borderId="0" pivotButton="0" quotePrefix="0" xfId="0"/>
    <xf numFmtId="165" fontId="8" fillId="6" borderId="3" pivotButton="0" quotePrefix="0" xfId="0"/>
    <xf numFmtId="165" fontId="8" fillId="6" borderId="0" pivotButton="0" quotePrefix="0" xfId="0"/>
    <xf numFmtId="0" fontId="11" fillId="0" borderId="0" pivotButton="0" quotePrefix="0" xfId="0"/>
    <xf numFmtId="3" fontId="7" fillId="0" borderId="0" pivotButton="0" quotePrefix="0" xfId="0"/>
    <xf numFmtId="3" fontId="6" fillId="0" borderId="1" pivotButton="0" quotePrefix="0" xfId="0"/>
    <xf numFmtId="165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036"/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THE FOUNDER'S SPRINT</t>
        </is>
      </c>
    </row>
    <row r="2">
      <c r="A2" s="2" t="inlineStr">
        <is>
          <t>12-Month Financial Model Template</t>
        </is>
      </c>
    </row>
    <row r="4">
      <c r="A4" s="3" t="inlineStr">
        <is>
          <t>HOW TO USE THIS TEMPLATE</t>
        </is>
      </c>
    </row>
    <row r="5">
      <c r="A5" s="4" t="inlineStr">
        <is>
          <t>1. Go to the Assumptions tab and fill in your business details (all blue cells are editable).</t>
        </is>
      </c>
    </row>
    <row r="6">
      <c r="A6" s="4" t="inlineStr">
        <is>
          <t>2. Start with your estimated first-month revenue and expected monthly growth rate.</t>
        </is>
      </c>
    </row>
    <row r="7">
      <c r="A7" s="4" t="inlineStr">
        <is>
          <t>3. Enter your COGS percentage — what it costs to produce/deliver your product or service.</t>
        </is>
      </c>
    </row>
    <row r="8">
      <c r="A8" s="4" t="inlineStr">
        <is>
          <t>4. Fill in your monthly operating expenses — rent, salaries, marketing, etc.</t>
        </is>
      </c>
    </row>
    <row r="9">
      <c r="A9" s="4" t="inlineStr">
        <is>
          <t>5. The P&amp;L tab will automatically calculate your monthly and annual profit/loss.</t>
        </is>
      </c>
    </row>
    <row r="10">
      <c r="A10" s="4" t="inlineStr">
        <is>
          <t>6. The Cash Flow tab shows your running cash position month by month.</t>
        </is>
      </c>
    </row>
    <row r="11">
      <c r="A11" s="4" t="inlineStr">
        <is>
          <t>7. Adjust assumptions to model different scenarios (optimistic, realistic, pessimistic).</t>
        </is>
      </c>
    </row>
    <row r="12">
      <c r="A12" s="4" t="inlineStr"/>
    </row>
    <row r="13">
      <c r="A13" s="3" t="inlineStr">
        <is>
          <t>COLOUR GUIDE</t>
        </is>
      </c>
    </row>
    <row r="14">
      <c r="A14" s="5" t="inlineStr">
        <is>
          <t>Blue text = editable inputs (change these)</t>
        </is>
      </c>
    </row>
    <row r="15">
      <c r="A15" s="5" t="inlineStr">
        <is>
          <t>Black text = formulas (don't edit)</t>
        </is>
      </c>
    </row>
    <row r="16">
      <c r="A16" s="5" t="inlineStr">
        <is>
          <t>Green text = links from other sheets</t>
        </is>
      </c>
    </row>
    <row r="17">
      <c r="A17" s="5" t="inlineStr">
        <is>
          <t>Yellow highlight = key assumptions that need your attention</t>
        </is>
      </c>
    </row>
    <row r="18">
      <c r="A18" s="4" t="inlineStr"/>
    </row>
    <row r="19">
      <c r="A19" s="3" t="inlineStr">
        <is>
          <t>TIPS FOR UGANDAN FOUNDERS</t>
        </is>
      </c>
    </row>
    <row r="20">
      <c r="A20" s="4" t="inlineStr">
        <is>
          <t>All figures are in UGX. Convert to USD at current rate for investor decks.</t>
        </is>
      </c>
    </row>
    <row r="21">
      <c r="A21" s="4" t="inlineStr">
        <is>
          <t>Include mobile money transaction fees in COGS if applicable.</t>
        </is>
      </c>
    </row>
    <row r="22">
      <c r="A22" s="4" t="inlineStr">
        <is>
          <t>Budget for load shedding — generator fuel goes under Utilities.</t>
        </is>
      </c>
    </row>
    <row r="23">
      <c r="A23" s="4" t="inlineStr">
        <is>
          <t>Professional services should include your annual URA filing costs.</t>
        </is>
      </c>
    </row>
    <row r="24">
      <c r="A24" s="4" t="inlineStr">
        <is>
          <t>If VAT-registered, model revenue net of VAT (18%).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85A2E"/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6" t="inlineStr">
        <is>
          <t>THE FOUNDER'S SPRINT — FINANCIAL MODEL</t>
        </is>
      </c>
    </row>
    <row r="2">
      <c r="A2" s="3" t="inlineStr">
        <is>
          <t>Key Assumptions (edit blue cells)</t>
        </is>
      </c>
    </row>
    <row r="4">
      <c r="A4" t="inlineStr">
        <is>
          <t>Company Name</t>
        </is>
      </c>
      <c r="B4" s="7" t="inlineStr">
        <is>
          <t>Your Startup Name</t>
        </is>
      </c>
    </row>
    <row r="5">
      <c r="A5" t="inlineStr">
        <is>
          <t>Currency</t>
        </is>
      </c>
      <c r="B5" t="inlineStr">
        <is>
          <t>UGX</t>
        </is>
      </c>
    </row>
    <row r="6">
      <c r="A6" t="inlineStr">
        <is>
          <t>Fiscal Year Start</t>
        </is>
      </c>
      <c r="B6" s="7" t="n">
        <v>2026</v>
      </c>
    </row>
    <row r="8">
      <c r="A8" s="3" t="inlineStr">
        <is>
          <t>REVENUE ASSUMPTIONS</t>
        </is>
      </c>
    </row>
    <row r="9">
      <c r="A9" t="inlineStr">
        <is>
          <t>Starting Monthly Revenue (UGX)</t>
        </is>
      </c>
      <c r="B9" s="8" t="n">
        <v>500000</v>
      </c>
    </row>
    <row r="10">
      <c r="A10" t="inlineStr">
        <is>
          <t>Monthly Revenue Growth Rate</t>
        </is>
      </c>
      <c r="B10" s="9" t="n">
        <v>0.1</v>
      </c>
    </row>
    <row r="11">
      <c r="A11" t="inlineStr">
        <is>
          <t>Average Unit Price (UGX)</t>
        </is>
      </c>
      <c r="B11" s="8" t="n">
        <v>25000</v>
      </c>
    </row>
    <row r="13">
      <c r="A13" s="3" t="inlineStr">
        <is>
          <t>COST OF GOODS SOLD (COGS)</t>
        </is>
      </c>
    </row>
    <row r="14">
      <c r="A14" t="inlineStr">
        <is>
          <t>COGS as % of Revenue</t>
        </is>
      </c>
      <c r="B14" s="9" t="n">
        <v>0.35</v>
      </c>
    </row>
    <row r="16">
      <c r="A16" s="3" t="inlineStr">
        <is>
          <t>OPERATING EXPENSES</t>
        </is>
      </c>
    </row>
    <row r="17">
      <c r="A17" t="inlineStr">
        <is>
          <t>Rent / Office</t>
        </is>
      </c>
      <c r="B17" s="8" t="n">
        <v>300000</v>
      </c>
    </row>
    <row r="18">
      <c r="A18" t="inlineStr">
        <is>
          <t>Salaries &amp; Wages</t>
        </is>
      </c>
      <c r="B18" s="8" t="n">
        <v>1500000</v>
      </c>
    </row>
    <row r="19">
      <c r="A19" t="inlineStr">
        <is>
          <t>Marketing &amp; Advertising</t>
        </is>
      </c>
      <c r="B19" s="8" t="n">
        <v>200000</v>
      </c>
    </row>
    <row r="20">
      <c r="A20" t="inlineStr">
        <is>
          <t>Utilities (Power, Internet, Water)</t>
        </is>
      </c>
      <c r="B20" s="8" t="n">
        <v>150000</v>
      </c>
    </row>
    <row r="21">
      <c r="A21" t="inlineStr">
        <is>
          <t>Transport &amp; Logistics</t>
        </is>
      </c>
      <c r="B21" s="8" t="n">
        <v>100000</v>
      </c>
    </row>
    <row r="22">
      <c r="A22" t="inlineStr">
        <is>
          <t>Professional Services (Legal, Accounting)</t>
        </is>
      </c>
      <c r="B22" s="8" t="n">
        <v>100000</v>
      </c>
    </row>
    <row r="23">
      <c r="A23" t="inlineStr">
        <is>
          <t>Software &amp; Tools</t>
        </is>
      </c>
      <c r="B23" s="8" t="n">
        <v>50000</v>
      </c>
    </row>
    <row r="24">
      <c r="A24" t="inlineStr">
        <is>
          <t>Insurance</t>
        </is>
      </c>
      <c r="B24" s="8" t="n">
        <v>50000</v>
      </c>
    </row>
    <row r="25">
      <c r="A25" t="inlineStr">
        <is>
          <t>Miscellaneous</t>
        </is>
      </c>
      <c r="B25" s="8" t="n">
        <v>75000</v>
      </c>
    </row>
    <row r="27">
      <c r="A27" s="3" t="inlineStr">
        <is>
          <t>GROWTH ASSUMPTIONS</t>
        </is>
      </c>
    </row>
    <row r="28">
      <c r="A28" t="inlineStr">
        <is>
          <t>OpEx Annual Increase</t>
        </is>
      </c>
      <c r="B28" s="9" t="n">
        <v>0.05</v>
      </c>
    </row>
    <row r="30">
      <c r="A30" s="10" t="inlineStr">
        <is>
          <t>Note: All blue cells are editable inputs. Change them to model your business.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13A2D"/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6" t="inlineStr">
        <is>
          <t>12-MONTH PROFIT &amp; LOSS PROJECTION</t>
        </is>
      </c>
    </row>
    <row r="3">
      <c r="A3" s="11" t="inlineStr"/>
      <c r="B3" s="12" t="inlineStr">
        <is>
          <t>Jan</t>
        </is>
      </c>
      <c r="C3" s="12" t="inlineStr">
        <is>
          <t>Feb</t>
        </is>
      </c>
      <c r="D3" s="12" t="inlineStr">
        <is>
          <t>Mar</t>
        </is>
      </c>
      <c r="E3" s="12" t="inlineStr">
        <is>
          <t>Apr</t>
        </is>
      </c>
      <c r="F3" s="12" t="inlineStr">
        <is>
          <t>May</t>
        </is>
      </c>
      <c r="G3" s="12" t="inlineStr">
        <is>
          <t>Jun</t>
        </is>
      </c>
      <c r="H3" s="12" t="inlineStr">
        <is>
          <t>Jul</t>
        </is>
      </c>
      <c r="I3" s="12" t="inlineStr">
        <is>
          <t>Aug</t>
        </is>
      </c>
      <c r="J3" s="12" t="inlineStr">
        <is>
          <t>Sep</t>
        </is>
      </c>
      <c r="K3" s="12" t="inlineStr">
        <is>
          <t>Oct</t>
        </is>
      </c>
      <c r="L3" s="12" t="inlineStr">
        <is>
          <t>Nov</t>
        </is>
      </c>
      <c r="M3" s="12" t="inlineStr">
        <is>
          <t>Dec</t>
        </is>
      </c>
      <c r="N3" s="12" t="inlineStr">
        <is>
          <t>TOTAL</t>
        </is>
      </c>
    </row>
    <row r="5">
      <c r="A5" s="3" t="inlineStr">
        <is>
          <t>REVENUE</t>
        </is>
      </c>
    </row>
    <row r="6">
      <c r="A6" t="inlineStr">
        <is>
          <t>Monthly Revenue</t>
        </is>
      </c>
      <c r="B6" s="13">
        <f>Assumptions!B9</f>
        <v/>
      </c>
      <c r="C6" s="14">
        <f>B6*(1+Assumptions!B10)</f>
        <v/>
      </c>
      <c r="D6" s="14">
        <f>C6*(1+Assumptions!B10)</f>
        <v/>
      </c>
      <c r="E6" s="14">
        <f>D6*(1+Assumptions!B10)</f>
        <v/>
      </c>
      <c r="F6" s="14">
        <f>E6*(1+Assumptions!B10)</f>
        <v/>
      </c>
      <c r="G6" s="14">
        <f>F6*(1+Assumptions!B10)</f>
        <v/>
      </c>
      <c r="H6" s="14">
        <f>G6*(1+Assumptions!B10)</f>
        <v/>
      </c>
      <c r="I6" s="14">
        <f>H6*(1+Assumptions!B10)</f>
        <v/>
      </c>
      <c r="J6" s="14">
        <f>I6*(1+Assumptions!B10)</f>
        <v/>
      </c>
      <c r="K6" s="14">
        <f>J6*(1+Assumptions!B10)</f>
        <v/>
      </c>
      <c r="L6" s="14">
        <f>K6*(1+Assumptions!B10)</f>
        <v/>
      </c>
      <c r="M6" s="14">
        <f>L6*(1+Assumptions!B10)</f>
        <v/>
      </c>
      <c r="N6" s="15">
        <f>SUM(B6:M6)</f>
        <v/>
      </c>
    </row>
    <row r="8">
      <c r="A8" s="3" t="inlineStr">
        <is>
          <t>COST OF GOODS SOLD</t>
        </is>
      </c>
    </row>
    <row r="9">
      <c r="A9" t="inlineStr">
        <is>
          <t>COGS</t>
        </is>
      </c>
      <c r="B9" s="14">
        <f>-B6*Assumptions!B14</f>
        <v/>
      </c>
      <c r="C9" s="14">
        <f>-C6*Assumptions!B14</f>
        <v/>
      </c>
      <c r="D9" s="14">
        <f>-D6*Assumptions!B14</f>
        <v/>
      </c>
      <c r="E9" s="14">
        <f>-E6*Assumptions!B14</f>
        <v/>
      </c>
      <c r="F9" s="14">
        <f>-F6*Assumptions!B14</f>
        <v/>
      </c>
      <c r="G9" s="14">
        <f>-G6*Assumptions!B14</f>
        <v/>
      </c>
      <c r="H9" s="14">
        <f>-H6*Assumptions!B14</f>
        <v/>
      </c>
      <c r="I9" s="14">
        <f>-I6*Assumptions!B14</f>
        <v/>
      </c>
      <c r="J9" s="14">
        <f>-J6*Assumptions!B14</f>
        <v/>
      </c>
      <c r="K9" s="14">
        <f>-K6*Assumptions!B14</f>
        <v/>
      </c>
      <c r="L9" s="14">
        <f>-L6*Assumptions!B14</f>
        <v/>
      </c>
      <c r="M9" s="14">
        <f>-M6*Assumptions!B14</f>
        <v/>
      </c>
      <c r="N9" s="15">
        <f>SUM(B9:M9)</f>
        <v/>
      </c>
    </row>
    <row r="11">
      <c r="A11" s="16" t="inlineStr">
        <is>
          <t>GROSS PROFIT</t>
        </is>
      </c>
      <c r="B11" s="17">
        <f>B6+B9</f>
        <v/>
      </c>
      <c r="C11" s="17">
        <f>C6+C9</f>
        <v/>
      </c>
      <c r="D11" s="17">
        <f>D6+D9</f>
        <v/>
      </c>
      <c r="E11" s="17">
        <f>E6+E9</f>
        <v/>
      </c>
      <c r="F11" s="17">
        <f>F6+F9</f>
        <v/>
      </c>
      <c r="G11" s="17">
        <f>G6+G9</f>
        <v/>
      </c>
      <c r="H11" s="17">
        <f>H6+H9</f>
        <v/>
      </c>
      <c r="I11" s="17">
        <f>I6+I9</f>
        <v/>
      </c>
      <c r="J11" s="17">
        <f>J6+J9</f>
        <v/>
      </c>
      <c r="K11" s="17">
        <f>K6+K9</f>
        <v/>
      </c>
      <c r="L11" s="17">
        <f>L6+L9</f>
        <v/>
      </c>
      <c r="M11" s="17">
        <f>M6+M9</f>
        <v/>
      </c>
      <c r="N11" s="18">
        <f>SUM(B11:M11)</f>
        <v/>
      </c>
    </row>
    <row r="12">
      <c r="A12" s="10" t="inlineStr">
        <is>
          <t>Gross Margin %</t>
        </is>
      </c>
      <c r="B12" s="19">
        <f>IF(B6=0,0,B11/B6)</f>
        <v/>
      </c>
      <c r="C12" s="19">
        <f>IF(C6=0,0,C11/C6)</f>
        <v/>
      </c>
      <c r="D12" s="19">
        <f>IF(D6=0,0,D11/D6)</f>
        <v/>
      </c>
      <c r="E12" s="19">
        <f>IF(E6=0,0,E11/E6)</f>
        <v/>
      </c>
      <c r="F12" s="19">
        <f>IF(F6=0,0,F11/F6)</f>
        <v/>
      </c>
      <c r="G12" s="19">
        <f>IF(G6=0,0,G11/G6)</f>
        <v/>
      </c>
      <c r="H12" s="19">
        <f>IF(H6=0,0,H11/H6)</f>
        <v/>
      </c>
      <c r="I12" s="19">
        <f>IF(I6=0,0,I11/I6)</f>
        <v/>
      </c>
      <c r="J12" s="19">
        <f>IF(J6=0,0,J11/J6)</f>
        <v/>
      </c>
      <c r="K12" s="19">
        <f>IF(K6=0,0,K11/K6)</f>
        <v/>
      </c>
      <c r="L12" s="19">
        <f>IF(L6=0,0,L11/L6)</f>
        <v/>
      </c>
      <c r="M12" s="19">
        <f>IF(M6=0,0,M11/M6)</f>
        <v/>
      </c>
    </row>
    <row r="14">
      <c r="A14" s="3" t="inlineStr">
        <is>
          <t>OPERATING EXPENSES</t>
        </is>
      </c>
    </row>
    <row r="15">
      <c r="A15" t="inlineStr">
        <is>
          <t>Rent / Office</t>
        </is>
      </c>
      <c r="B15" s="13">
        <f>-Assumptions!B17</f>
        <v/>
      </c>
      <c r="C15" s="13">
        <f>-Assumptions!B17</f>
        <v/>
      </c>
      <c r="D15" s="13">
        <f>-Assumptions!B17</f>
        <v/>
      </c>
      <c r="E15" s="13">
        <f>-Assumptions!B17</f>
        <v/>
      </c>
      <c r="F15" s="13">
        <f>-Assumptions!B17</f>
        <v/>
      </c>
      <c r="G15" s="13">
        <f>-Assumptions!B17</f>
        <v/>
      </c>
      <c r="H15" s="13">
        <f>-Assumptions!B17</f>
        <v/>
      </c>
      <c r="I15" s="13">
        <f>-Assumptions!B17</f>
        <v/>
      </c>
      <c r="J15" s="13">
        <f>-Assumptions!B17</f>
        <v/>
      </c>
      <c r="K15" s="13">
        <f>-Assumptions!B17</f>
        <v/>
      </c>
      <c r="L15" s="13">
        <f>-Assumptions!B17</f>
        <v/>
      </c>
      <c r="M15" s="13">
        <f>-Assumptions!B17</f>
        <v/>
      </c>
      <c r="N15" s="20">
        <f>SUM(B15:M15)</f>
        <v/>
      </c>
    </row>
    <row r="16">
      <c r="A16" t="inlineStr">
        <is>
          <t>Salaries &amp; Wages</t>
        </is>
      </c>
      <c r="B16" s="13">
        <f>-Assumptions!B18</f>
        <v/>
      </c>
      <c r="C16" s="13">
        <f>-Assumptions!B18</f>
        <v/>
      </c>
      <c r="D16" s="13">
        <f>-Assumptions!B18</f>
        <v/>
      </c>
      <c r="E16" s="13">
        <f>-Assumptions!B18</f>
        <v/>
      </c>
      <c r="F16" s="13">
        <f>-Assumptions!B18</f>
        <v/>
      </c>
      <c r="G16" s="13">
        <f>-Assumptions!B18</f>
        <v/>
      </c>
      <c r="H16" s="13">
        <f>-Assumptions!B18</f>
        <v/>
      </c>
      <c r="I16" s="13">
        <f>-Assumptions!B18</f>
        <v/>
      </c>
      <c r="J16" s="13">
        <f>-Assumptions!B18</f>
        <v/>
      </c>
      <c r="K16" s="13">
        <f>-Assumptions!B18</f>
        <v/>
      </c>
      <c r="L16" s="13">
        <f>-Assumptions!B18</f>
        <v/>
      </c>
      <c r="M16" s="13">
        <f>-Assumptions!B18</f>
        <v/>
      </c>
      <c r="N16" s="20">
        <f>SUM(B16:M16)</f>
        <v/>
      </c>
    </row>
    <row r="17">
      <c r="A17" t="inlineStr">
        <is>
          <t>Marketing &amp; Advertising</t>
        </is>
      </c>
      <c r="B17" s="13">
        <f>-Assumptions!B19</f>
        <v/>
      </c>
      <c r="C17" s="13">
        <f>-Assumptions!B19</f>
        <v/>
      </c>
      <c r="D17" s="13">
        <f>-Assumptions!B19</f>
        <v/>
      </c>
      <c r="E17" s="13">
        <f>-Assumptions!B19</f>
        <v/>
      </c>
      <c r="F17" s="13">
        <f>-Assumptions!B19</f>
        <v/>
      </c>
      <c r="G17" s="13">
        <f>-Assumptions!B19</f>
        <v/>
      </c>
      <c r="H17" s="13">
        <f>-Assumptions!B19</f>
        <v/>
      </c>
      <c r="I17" s="13">
        <f>-Assumptions!B19</f>
        <v/>
      </c>
      <c r="J17" s="13">
        <f>-Assumptions!B19</f>
        <v/>
      </c>
      <c r="K17" s="13">
        <f>-Assumptions!B19</f>
        <v/>
      </c>
      <c r="L17" s="13">
        <f>-Assumptions!B19</f>
        <v/>
      </c>
      <c r="M17" s="13">
        <f>-Assumptions!B19</f>
        <v/>
      </c>
      <c r="N17" s="20">
        <f>SUM(B17:M17)</f>
        <v/>
      </c>
    </row>
    <row r="18">
      <c r="A18" t="inlineStr">
        <is>
          <t>Utilities (Power, Internet, Water)</t>
        </is>
      </c>
      <c r="B18" s="13">
        <f>-Assumptions!B20</f>
        <v/>
      </c>
      <c r="C18" s="13">
        <f>-Assumptions!B20</f>
        <v/>
      </c>
      <c r="D18" s="13">
        <f>-Assumptions!B20</f>
        <v/>
      </c>
      <c r="E18" s="13">
        <f>-Assumptions!B20</f>
        <v/>
      </c>
      <c r="F18" s="13">
        <f>-Assumptions!B20</f>
        <v/>
      </c>
      <c r="G18" s="13">
        <f>-Assumptions!B20</f>
        <v/>
      </c>
      <c r="H18" s="13">
        <f>-Assumptions!B20</f>
        <v/>
      </c>
      <c r="I18" s="13">
        <f>-Assumptions!B20</f>
        <v/>
      </c>
      <c r="J18" s="13">
        <f>-Assumptions!B20</f>
        <v/>
      </c>
      <c r="K18" s="13">
        <f>-Assumptions!B20</f>
        <v/>
      </c>
      <c r="L18" s="13">
        <f>-Assumptions!B20</f>
        <v/>
      </c>
      <c r="M18" s="13">
        <f>-Assumptions!B20</f>
        <v/>
      </c>
      <c r="N18" s="20">
        <f>SUM(B18:M18)</f>
        <v/>
      </c>
    </row>
    <row r="19">
      <c r="A19" t="inlineStr">
        <is>
          <t>Transport &amp; Logistics</t>
        </is>
      </c>
      <c r="B19" s="13">
        <f>-Assumptions!B21</f>
        <v/>
      </c>
      <c r="C19" s="13">
        <f>-Assumptions!B21</f>
        <v/>
      </c>
      <c r="D19" s="13">
        <f>-Assumptions!B21</f>
        <v/>
      </c>
      <c r="E19" s="13">
        <f>-Assumptions!B21</f>
        <v/>
      </c>
      <c r="F19" s="13">
        <f>-Assumptions!B21</f>
        <v/>
      </c>
      <c r="G19" s="13">
        <f>-Assumptions!B21</f>
        <v/>
      </c>
      <c r="H19" s="13">
        <f>-Assumptions!B21</f>
        <v/>
      </c>
      <c r="I19" s="13">
        <f>-Assumptions!B21</f>
        <v/>
      </c>
      <c r="J19" s="13">
        <f>-Assumptions!B21</f>
        <v/>
      </c>
      <c r="K19" s="13">
        <f>-Assumptions!B21</f>
        <v/>
      </c>
      <c r="L19" s="13">
        <f>-Assumptions!B21</f>
        <v/>
      </c>
      <c r="M19" s="13">
        <f>-Assumptions!B21</f>
        <v/>
      </c>
      <c r="N19" s="20">
        <f>SUM(B19:M19)</f>
        <v/>
      </c>
    </row>
    <row r="20">
      <c r="A20" t="inlineStr">
        <is>
          <t>Professional Services (Legal, Accounting)</t>
        </is>
      </c>
      <c r="B20" s="13">
        <f>-Assumptions!B22</f>
        <v/>
      </c>
      <c r="C20" s="13">
        <f>-Assumptions!B22</f>
        <v/>
      </c>
      <c r="D20" s="13">
        <f>-Assumptions!B22</f>
        <v/>
      </c>
      <c r="E20" s="13">
        <f>-Assumptions!B22</f>
        <v/>
      </c>
      <c r="F20" s="13">
        <f>-Assumptions!B22</f>
        <v/>
      </c>
      <c r="G20" s="13">
        <f>-Assumptions!B22</f>
        <v/>
      </c>
      <c r="H20" s="13">
        <f>-Assumptions!B22</f>
        <v/>
      </c>
      <c r="I20" s="13">
        <f>-Assumptions!B22</f>
        <v/>
      </c>
      <c r="J20" s="13">
        <f>-Assumptions!B22</f>
        <v/>
      </c>
      <c r="K20" s="13">
        <f>-Assumptions!B22</f>
        <v/>
      </c>
      <c r="L20" s="13">
        <f>-Assumptions!B22</f>
        <v/>
      </c>
      <c r="M20" s="13">
        <f>-Assumptions!B22</f>
        <v/>
      </c>
      <c r="N20" s="20">
        <f>SUM(B20:M20)</f>
        <v/>
      </c>
    </row>
    <row r="21">
      <c r="A21" t="inlineStr">
        <is>
          <t>Software &amp; Tools</t>
        </is>
      </c>
      <c r="B21" s="13">
        <f>-Assumptions!B23</f>
        <v/>
      </c>
      <c r="C21" s="13">
        <f>-Assumptions!B23</f>
        <v/>
      </c>
      <c r="D21" s="13">
        <f>-Assumptions!B23</f>
        <v/>
      </c>
      <c r="E21" s="13">
        <f>-Assumptions!B23</f>
        <v/>
      </c>
      <c r="F21" s="13">
        <f>-Assumptions!B23</f>
        <v/>
      </c>
      <c r="G21" s="13">
        <f>-Assumptions!B23</f>
        <v/>
      </c>
      <c r="H21" s="13">
        <f>-Assumptions!B23</f>
        <v/>
      </c>
      <c r="I21" s="13">
        <f>-Assumptions!B23</f>
        <v/>
      </c>
      <c r="J21" s="13">
        <f>-Assumptions!B23</f>
        <v/>
      </c>
      <c r="K21" s="13">
        <f>-Assumptions!B23</f>
        <v/>
      </c>
      <c r="L21" s="13">
        <f>-Assumptions!B23</f>
        <v/>
      </c>
      <c r="M21" s="13">
        <f>-Assumptions!B23</f>
        <v/>
      </c>
      <c r="N21" s="20">
        <f>SUM(B21:M21)</f>
        <v/>
      </c>
    </row>
    <row r="22">
      <c r="A22" t="inlineStr">
        <is>
          <t>Insurance</t>
        </is>
      </c>
      <c r="B22" s="13">
        <f>-Assumptions!B24</f>
        <v/>
      </c>
      <c r="C22" s="13">
        <f>-Assumptions!B24</f>
        <v/>
      </c>
      <c r="D22" s="13">
        <f>-Assumptions!B24</f>
        <v/>
      </c>
      <c r="E22" s="13">
        <f>-Assumptions!B24</f>
        <v/>
      </c>
      <c r="F22" s="13">
        <f>-Assumptions!B24</f>
        <v/>
      </c>
      <c r="G22" s="13">
        <f>-Assumptions!B24</f>
        <v/>
      </c>
      <c r="H22" s="13">
        <f>-Assumptions!B24</f>
        <v/>
      </c>
      <c r="I22" s="13">
        <f>-Assumptions!B24</f>
        <v/>
      </c>
      <c r="J22" s="13">
        <f>-Assumptions!B24</f>
        <v/>
      </c>
      <c r="K22" s="13">
        <f>-Assumptions!B24</f>
        <v/>
      </c>
      <c r="L22" s="13">
        <f>-Assumptions!B24</f>
        <v/>
      </c>
      <c r="M22" s="13">
        <f>-Assumptions!B24</f>
        <v/>
      </c>
      <c r="N22" s="20">
        <f>SUM(B22:M22)</f>
        <v/>
      </c>
    </row>
    <row r="23">
      <c r="A23" t="inlineStr">
        <is>
          <t>Miscellaneous</t>
        </is>
      </c>
      <c r="B23" s="13">
        <f>-Assumptions!B25</f>
        <v/>
      </c>
      <c r="C23" s="13">
        <f>-Assumptions!B25</f>
        <v/>
      </c>
      <c r="D23" s="13">
        <f>-Assumptions!B25</f>
        <v/>
      </c>
      <c r="E23" s="13">
        <f>-Assumptions!B25</f>
        <v/>
      </c>
      <c r="F23" s="13">
        <f>-Assumptions!B25</f>
        <v/>
      </c>
      <c r="G23" s="13">
        <f>-Assumptions!B25</f>
        <v/>
      </c>
      <c r="H23" s="13">
        <f>-Assumptions!B25</f>
        <v/>
      </c>
      <c r="I23" s="13">
        <f>-Assumptions!B25</f>
        <v/>
      </c>
      <c r="J23" s="13">
        <f>-Assumptions!B25</f>
        <v/>
      </c>
      <c r="K23" s="13">
        <f>-Assumptions!B25</f>
        <v/>
      </c>
      <c r="L23" s="13">
        <f>-Assumptions!B25</f>
        <v/>
      </c>
      <c r="M23" s="13">
        <f>-Assumptions!B25</f>
        <v/>
      </c>
      <c r="N23" s="20">
        <f>SUM(B23:M23)</f>
        <v/>
      </c>
    </row>
    <row r="25">
      <c r="A25" s="16" t="inlineStr">
        <is>
          <t>TOTAL OPERATING EXPENSES</t>
        </is>
      </c>
      <c r="B25" s="21">
        <f>SUM(B15:B23)</f>
        <v/>
      </c>
      <c r="C25" s="21">
        <f>SUM(C15:C23)</f>
        <v/>
      </c>
      <c r="D25" s="21">
        <f>SUM(D15:D23)</f>
        <v/>
      </c>
      <c r="E25" s="21">
        <f>SUM(E15:E23)</f>
        <v/>
      </c>
      <c r="F25" s="21">
        <f>SUM(F15:F23)</f>
        <v/>
      </c>
      <c r="G25" s="21">
        <f>SUM(G15:G23)</f>
        <v/>
      </c>
      <c r="H25" s="21">
        <f>SUM(H15:H23)</f>
        <v/>
      </c>
      <c r="I25" s="21">
        <f>SUM(I15:I23)</f>
        <v/>
      </c>
      <c r="J25" s="21">
        <f>SUM(J15:J23)</f>
        <v/>
      </c>
      <c r="K25" s="21">
        <f>SUM(K15:K23)</f>
        <v/>
      </c>
      <c r="L25" s="21">
        <f>SUM(L15:L23)</f>
        <v/>
      </c>
      <c r="M25" s="21">
        <f>SUM(M15:M23)</f>
        <v/>
      </c>
      <c r="N25" s="22">
        <f>SUM(B25:M25)</f>
        <v/>
      </c>
    </row>
    <row r="27">
      <c r="A27" s="23" t="inlineStr">
        <is>
          <t>NET PROFIT / (LOSS)</t>
        </is>
      </c>
      <c r="B27" s="24">
        <f>B11+B25</f>
        <v/>
      </c>
      <c r="C27" s="24">
        <f>C11+C25</f>
        <v/>
      </c>
      <c r="D27" s="24">
        <f>D11+D25</f>
        <v/>
      </c>
      <c r="E27" s="24">
        <f>E11+E25</f>
        <v/>
      </c>
      <c r="F27" s="24">
        <f>F11+F25</f>
        <v/>
      </c>
      <c r="G27" s="24">
        <f>G11+G25</f>
        <v/>
      </c>
      <c r="H27" s="24">
        <f>H11+H25</f>
        <v/>
      </c>
      <c r="I27" s="24">
        <f>I11+I25</f>
        <v/>
      </c>
      <c r="J27" s="24">
        <f>J11+J25</f>
        <v/>
      </c>
      <c r="K27" s="24">
        <f>K11+K25</f>
        <v/>
      </c>
      <c r="L27" s="24">
        <f>L11+L25</f>
        <v/>
      </c>
      <c r="M27" s="24">
        <f>M11+M25</f>
        <v/>
      </c>
      <c r="N27" s="25">
        <f>SUM(B27:M27)</f>
        <v/>
      </c>
    </row>
    <row r="28">
      <c r="A28" s="10" t="inlineStr">
        <is>
          <t>Net Margin %</t>
        </is>
      </c>
      <c r="B28" s="19">
        <f>IF(B6=0,0,B27/B6)</f>
        <v/>
      </c>
      <c r="C28" s="19">
        <f>IF(C6=0,0,C27/C6)</f>
        <v/>
      </c>
      <c r="D28" s="19">
        <f>IF(D6=0,0,D27/D6)</f>
        <v/>
      </c>
      <c r="E28" s="19">
        <f>IF(E6=0,0,E27/E6)</f>
        <v/>
      </c>
      <c r="F28" s="19">
        <f>IF(F6=0,0,F27/F6)</f>
        <v/>
      </c>
      <c r="G28" s="19">
        <f>IF(G6=0,0,G27/G6)</f>
        <v/>
      </c>
      <c r="H28" s="19">
        <f>IF(H6=0,0,H27/H6)</f>
        <v/>
      </c>
      <c r="I28" s="19">
        <f>IF(I6=0,0,I27/I6)</f>
        <v/>
      </c>
      <c r="J28" s="19">
        <f>IF(J6=0,0,J27/J6)</f>
        <v/>
      </c>
      <c r="K28" s="19">
        <f>IF(K6=0,0,K27/K6)</f>
        <v/>
      </c>
      <c r="L28" s="19">
        <f>IF(L6=0,0,L27/L6)</f>
        <v/>
      </c>
      <c r="M28" s="19">
        <f>IF(M6=0,0,M27/M6)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D6A4F"/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6" t="inlineStr">
        <is>
          <t>12-MONTH CASH FLOW PROJECTION</t>
        </is>
      </c>
    </row>
    <row r="3">
      <c r="A3" s="11" t="inlineStr"/>
      <c r="B3" s="12" t="inlineStr">
        <is>
          <t>Jan</t>
        </is>
      </c>
      <c r="C3" s="12" t="inlineStr">
        <is>
          <t>Feb</t>
        </is>
      </c>
      <c r="D3" s="12" t="inlineStr">
        <is>
          <t>Mar</t>
        </is>
      </c>
      <c r="E3" s="12" t="inlineStr">
        <is>
          <t>Apr</t>
        </is>
      </c>
      <c r="F3" s="12" t="inlineStr">
        <is>
          <t>May</t>
        </is>
      </c>
      <c r="G3" s="12" t="inlineStr">
        <is>
          <t>Jun</t>
        </is>
      </c>
      <c r="H3" s="12" t="inlineStr">
        <is>
          <t>Jul</t>
        </is>
      </c>
      <c r="I3" s="12" t="inlineStr">
        <is>
          <t>Aug</t>
        </is>
      </c>
      <c r="J3" s="12" t="inlineStr">
        <is>
          <t>Sep</t>
        </is>
      </c>
      <c r="K3" s="12" t="inlineStr">
        <is>
          <t>Oct</t>
        </is>
      </c>
      <c r="L3" s="12" t="inlineStr">
        <is>
          <t>Nov</t>
        </is>
      </c>
      <c r="M3" s="12" t="inlineStr">
        <is>
          <t>Dec</t>
        </is>
      </c>
    </row>
    <row r="5">
      <c r="A5" s="26" t="inlineStr">
        <is>
          <t>Opening Cash Balance</t>
        </is>
      </c>
      <c r="B5" s="8" t="n">
        <v>0</v>
      </c>
      <c r="C5" s="27">
        <f>B11</f>
        <v/>
      </c>
      <c r="D5" s="27">
        <f>C11</f>
        <v/>
      </c>
      <c r="E5" s="27">
        <f>D11</f>
        <v/>
      </c>
      <c r="F5" s="27">
        <f>E11</f>
        <v/>
      </c>
      <c r="G5" s="27">
        <f>F11</f>
        <v/>
      </c>
      <c r="H5" s="27">
        <f>G11</f>
        <v/>
      </c>
      <c r="I5" s="27">
        <f>H11</f>
        <v/>
      </c>
      <c r="J5" s="27">
        <f>I11</f>
        <v/>
      </c>
      <c r="K5" s="27">
        <f>J11</f>
        <v/>
      </c>
      <c r="L5" s="27">
        <f>K11</f>
        <v/>
      </c>
      <c r="M5" s="27">
        <f>L11</f>
        <v/>
      </c>
    </row>
    <row r="7">
      <c r="A7" t="inlineStr">
        <is>
          <t>Cash In (Revenue)</t>
        </is>
      </c>
      <c r="B7" s="28">
        <f>'P&amp;L'!B6</f>
        <v/>
      </c>
      <c r="C7" s="28">
        <f>'P&amp;L'!C6</f>
        <v/>
      </c>
      <c r="D7" s="28">
        <f>'P&amp;L'!D6</f>
        <v/>
      </c>
      <c r="E7" s="28">
        <f>'P&amp;L'!E6</f>
        <v/>
      </c>
      <c r="F7" s="28">
        <f>'P&amp;L'!F6</f>
        <v/>
      </c>
      <c r="G7" s="28">
        <f>'P&amp;L'!G6</f>
        <v/>
      </c>
      <c r="H7" s="28">
        <f>'P&amp;L'!H6</f>
        <v/>
      </c>
      <c r="I7" s="28">
        <f>'P&amp;L'!I6</f>
        <v/>
      </c>
      <c r="J7" s="28">
        <f>'P&amp;L'!J6</f>
        <v/>
      </c>
      <c r="K7" s="28">
        <f>'P&amp;L'!K6</f>
        <v/>
      </c>
      <c r="L7" s="28">
        <f>'P&amp;L'!L6</f>
        <v/>
      </c>
      <c r="M7" s="28">
        <f>'P&amp;L'!M6</f>
        <v/>
      </c>
    </row>
    <row r="8">
      <c r="A8" t="inlineStr">
        <is>
          <t>Cash Out (COGS + OpEx)</t>
        </is>
      </c>
      <c r="B8" s="13">
        <f>'P&amp;L'!B9+'P&amp;L'!B25</f>
        <v/>
      </c>
      <c r="C8" s="13">
        <f>'P&amp;L'!C9+'P&amp;L'!C25</f>
        <v/>
      </c>
      <c r="D8" s="13">
        <f>'P&amp;L'!D9+'P&amp;L'!D25</f>
        <v/>
      </c>
      <c r="E8" s="13">
        <f>'P&amp;L'!E9+'P&amp;L'!E25</f>
        <v/>
      </c>
      <c r="F8" s="13">
        <f>'P&amp;L'!F9+'P&amp;L'!F25</f>
        <v/>
      </c>
      <c r="G8" s="13">
        <f>'P&amp;L'!G9+'P&amp;L'!G25</f>
        <v/>
      </c>
      <c r="H8" s="13">
        <f>'P&amp;L'!H9+'P&amp;L'!H25</f>
        <v/>
      </c>
      <c r="I8" s="13">
        <f>'P&amp;L'!I9+'P&amp;L'!I25</f>
        <v/>
      </c>
      <c r="J8" s="13">
        <f>'P&amp;L'!J9+'P&amp;L'!J25</f>
        <v/>
      </c>
      <c r="K8" s="13">
        <f>'P&amp;L'!K9+'P&amp;L'!K25</f>
        <v/>
      </c>
      <c r="L8" s="13">
        <f>'P&amp;L'!L9+'P&amp;L'!L25</f>
        <v/>
      </c>
      <c r="M8" s="13">
        <f>'P&amp;L'!M9+'P&amp;L'!M25</f>
        <v/>
      </c>
    </row>
    <row r="9">
      <c r="A9" t="inlineStr">
        <is>
          <t>Other Cash Out (Capital, Loan Repayment)</t>
        </is>
      </c>
      <c r="B9" s="29" t="n">
        <v>0</v>
      </c>
      <c r="C9" s="29" t="n">
        <v>0</v>
      </c>
      <c r="D9" s="29" t="n">
        <v>0</v>
      </c>
      <c r="E9" s="29" t="n">
        <v>0</v>
      </c>
      <c r="F9" s="29" t="n">
        <v>0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29" t="n">
        <v>0</v>
      </c>
      <c r="M9" s="29" t="n">
        <v>0</v>
      </c>
    </row>
    <row r="10">
      <c r="A10" s="16" t="inlineStr">
        <is>
          <t>Net Cash Flow</t>
        </is>
      </c>
      <c r="B10" s="18">
        <f>B7+B8+B9</f>
        <v/>
      </c>
      <c r="C10" s="18">
        <f>C7+C8+C9</f>
        <v/>
      </c>
      <c r="D10" s="18">
        <f>D7+D8+D9</f>
        <v/>
      </c>
      <c r="E10" s="18">
        <f>E7+E8+E9</f>
        <v/>
      </c>
      <c r="F10" s="18">
        <f>F7+F8+F9</f>
        <v/>
      </c>
      <c r="G10" s="18">
        <f>G7+G8+G9</f>
        <v/>
      </c>
      <c r="H10" s="18">
        <f>H7+H8+H9</f>
        <v/>
      </c>
      <c r="I10" s="18">
        <f>I7+I8+I9</f>
        <v/>
      </c>
      <c r="J10" s="18">
        <f>J7+J8+J9</f>
        <v/>
      </c>
      <c r="K10" s="18">
        <f>K7+K8+K9</f>
        <v/>
      </c>
      <c r="L10" s="18">
        <f>L7+L8+L9</f>
        <v/>
      </c>
      <c r="M10" s="18">
        <f>M7+M8+M9</f>
        <v/>
      </c>
    </row>
    <row r="11">
      <c r="A11" s="23" t="inlineStr">
        <is>
          <t>Closing Cash Balance</t>
        </is>
      </c>
      <c r="B11" s="24">
        <f>B5+B10</f>
        <v/>
      </c>
      <c r="C11" s="24">
        <f>C5+C10</f>
        <v/>
      </c>
      <c r="D11" s="24">
        <f>D5+D10</f>
        <v/>
      </c>
      <c r="E11" s="24">
        <f>E5+E10</f>
        <v/>
      </c>
      <c r="F11" s="24">
        <f>F5+F10</f>
        <v/>
      </c>
      <c r="G11" s="24">
        <f>G5+G10</f>
        <v/>
      </c>
      <c r="H11" s="24">
        <f>H5+H10</f>
        <v/>
      </c>
      <c r="I11" s="24">
        <f>I5+I10</f>
        <v/>
      </c>
      <c r="J11" s="24">
        <f>J5+J10</f>
        <v/>
      </c>
      <c r="K11" s="24">
        <f>K5+K10</f>
        <v/>
      </c>
      <c r="L11" s="24">
        <f>L5+L10</f>
        <v/>
      </c>
      <c r="M11" s="24">
        <f>M5+M10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2026-04-18T10:36:05Z</dcterms:created>
  <dcterms:modified xmlns:dcterms="http://purl.org/dc/terms/" xmlns:xsi="http://www.w3.org/2001/XMLSchema-instance" xsi:type="dcterms:W3CDTF">2026-04-18T10:36:05Z</dcterms:modified>
</cp:coreProperties>
</file>